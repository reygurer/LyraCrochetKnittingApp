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ora T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2630"/>
      <sz val="13"/>
    </font>
    <font>
      <b val="1"/>
    </font>
    <font>
      <b val="1"/>
      <color rgb="002C4D43"/>
      <sz val="10.5"/>
    </font>
  </fonts>
  <fills count="3">
    <fill>
      <patternFill/>
    </fill>
    <fill>
      <patternFill patternType="gray125"/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ibSwatch" displayName="RibSwatch" ref="A3:B9" headerRowCount="1">
  <autoFilter ref="A3:B9"/>
  <tableColumns count="2">
    <tableColumn id="1" name="Field"/>
    <tableColumn id="2" name="Value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StockinetteSwatch" displayName="StockinetteSwatch" ref="A12:B18" headerRowCount="1">
  <autoFilter ref="A12:B18"/>
  <tableColumns count="2">
    <tableColumn id="1" name="Field"/>
    <tableColumn id="2" name="Value"/>
  </tableColumns>
  <tableStyleInfo name="TableStyleMedium9" showFirstColumn="0" showRowStripes="1"/>
</table>
</file>

<file path=xl/tables/table3.xml><?xml version="1.0" encoding="utf-8"?>
<table xmlns="http://schemas.openxmlformats.org/spreadsheetml/2006/main" id="3" name="Measurements" displayName="Measurements" ref="D3:E12" headerRowCount="1">
  <autoFilter ref="D3:E12"/>
  <tableColumns count="2">
    <tableColumn id="4" name="Field"/>
    <tableColumn id="5" name="Value"/>
  </tableColumns>
  <tableStyleInfo name="TableStyleMedium9" showFirstColumn="0" showRowStripes="1"/>
</table>
</file>

<file path=xl/tables/table4.xml><?xml version="1.0" encoding="utf-8"?>
<table xmlns="http://schemas.openxmlformats.org/spreadsheetml/2006/main" id="4" name="Results" displayName="Results" ref="G3:I27" headerRowCount="1">
  <autoFilter ref="G3:I27"/>
  <tableColumns count="3">
    <tableColumn id="7" name="Letter"/>
    <tableColumn id="8" name="Description"/>
    <tableColumn id="9" name="Value"/>
  </tableColumns>
  <tableStyleInfo name="TableStyleMedium7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3" customWidth="1" min="3" max="3"/>
    <col width="46" customWidth="1" min="4" max="4"/>
    <col width="11" customWidth="1" min="5" max="5"/>
    <col width="3" customWidth="1" min="6" max="6"/>
    <col width="6" customWidth="1" min="7" max="7"/>
    <col width="54" customWidth="1" min="8" max="8"/>
    <col width="12" customWidth="1" min="9" max="9"/>
  </cols>
  <sheetData>
    <row r="1" ht="26" customHeight="1">
      <c r="A1" s="1" t="inlineStr">
        <is>
          <t>DELORA TOP — fill in the yellow cells with your own numbers</t>
        </is>
      </c>
    </row>
    <row r="3">
      <c r="A3" s="2" t="inlineStr">
        <is>
          <t>Field</t>
        </is>
      </c>
      <c r="B3" s="2" t="inlineStr">
        <is>
          <t>Value</t>
        </is>
      </c>
      <c r="D3" s="2" t="inlineStr">
        <is>
          <t>Field</t>
        </is>
      </c>
      <c r="E3" s="2" t="inlineStr">
        <is>
          <t>Value</t>
        </is>
      </c>
      <c r="G3" s="2" t="inlineStr">
        <is>
          <t>Letter</t>
        </is>
      </c>
      <c r="H3" s="2" t="inlineStr">
        <is>
          <t>Description</t>
        </is>
      </c>
      <c r="I3" s="2" t="inlineStr">
        <is>
          <t>Value</t>
        </is>
      </c>
    </row>
    <row r="4">
      <c r="A4" t="inlineStr">
        <is>
          <t>2x2 Rib swatch — stitch count</t>
        </is>
      </c>
      <c r="B4" s="3" t="n"/>
      <c r="D4" t="inlineStr">
        <is>
          <t>M1 — Waist (cm)</t>
        </is>
      </c>
      <c r="E4" s="3" t="n"/>
      <c r="G4" s="4" t="inlineStr">
        <is>
          <t>A</t>
        </is>
      </c>
      <c r="H4" t="inlineStr">
        <is>
          <t>Cast-on stitches (2x2 rib waistband, snug to underbust)</t>
        </is>
      </c>
      <c r="I4" s="5">
        <f>MROUND(E5*I12,4)</f>
        <v/>
      </c>
    </row>
    <row r="5">
      <c r="A5" t="inlineStr">
        <is>
          <t>2x2 Rib swatch — row count</t>
        </is>
      </c>
      <c r="B5" s="3" t="n"/>
      <c r="D5" t="inlineStr">
        <is>
          <t>M2 — Underbust (cm)</t>
        </is>
      </c>
      <c r="E5" s="3" t="n"/>
      <c r="G5" s="4" t="inlineStr">
        <is>
          <t>B</t>
        </is>
      </c>
      <c r="H5" t="inlineStr">
        <is>
          <t>Rows of 2x2 rib (hem to underbust)</t>
        </is>
      </c>
      <c r="I5" s="5">
        <f>MROUND(E8*I13,1)</f>
        <v/>
      </c>
    </row>
    <row r="6">
      <c r="A6" t="inlineStr">
        <is>
          <t>2x2 Rib swatch — relaxed width (cm)</t>
        </is>
      </c>
      <c r="B6" s="3" t="n"/>
      <c r="D6" t="inlineStr">
        <is>
          <t>M3 — Bust (cm)</t>
        </is>
      </c>
      <c r="E6" s="3" t="n"/>
      <c r="G6" s="4" t="inlineStr">
        <is>
          <t>C</t>
        </is>
      </c>
      <c r="H6" t="inlineStr">
        <is>
          <t>Rows knit plain between increase rows (calculated from your target row count)</t>
        </is>
      </c>
      <c r="I6" s="5">
        <f>MROUND(((I20/(I7+(I7&lt;=0)))-1)*(I7&gt;0),1)</f>
        <v/>
      </c>
    </row>
    <row r="7">
      <c r="A7" t="inlineStr">
        <is>
          <t>2x2 Rib swatch — relaxed height (cm)</t>
        </is>
      </c>
      <c r="B7" s="3" t="n"/>
      <c r="D7" t="inlineStr">
        <is>
          <t>M4 — Biceps (cm)</t>
        </is>
      </c>
      <c r="E7" s="3" t="n"/>
      <c r="G7" s="4" t="inlineStr">
        <is>
          <t>D</t>
        </is>
      </c>
      <c r="H7" t="inlineStr">
        <is>
          <t>Total number of increase rows (2 sts each, 1 per side)</t>
        </is>
      </c>
      <c r="I7" s="5">
        <f>I9/2</f>
        <v/>
      </c>
    </row>
    <row r="8">
      <c r="A8" t="inlineStr">
        <is>
          <t>2x2 Rib swatch — stretched width (cm)</t>
        </is>
      </c>
      <c r="B8" s="3" t="n"/>
      <c r="D8" t="inlineStr">
        <is>
          <t>M5 — Hem to underbust (cm)</t>
        </is>
      </c>
      <c r="E8" s="3" t="n"/>
      <c r="G8" s="4" t="inlineStr">
        <is>
          <t>E</t>
        </is>
      </c>
      <c r="H8" t="inlineStr">
        <is>
          <t>Decrease worked over this many rows (1 st every 2 rows)</t>
        </is>
      </c>
      <c r="I8" s="5">
        <f>I25*2</f>
        <v/>
      </c>
    </row>
    <row r="9">
      <c r="A9" t="inlineStr">
        <is>
          <t>2x2 Rib swatch — stretched height (cm)</t>
        </is>
      </c>
      <c r="B9" s="3" t="n"/>
      <c r="D9" t="inlineStr">
        <is>
          <t>M6 — Shoulder to underbust (cm)</t>
        </is>
      </c>
      <c r="E9" s="3" t="n"/>
      <c r="G9" s="4" t="inlineStr">
        <is>
          <t>F</t>
        </is>
      </c>
      <c r="H9" t="inlineStr">
        <is>
          <t>Total stitches increased</t>
        </is>
      </c>
      <c r="I9" s="5">
        <f>(I19&gt;I4)*(I19-I4)</f>
        <v/>
      </c>
    </row>
    <row r="10">
      <c r="D10" t="inlineStr">
        <is>
          <t>M7 — Sleeve length (cm) — not used yet</t>
        </is>
      </c>
      <c r="E10" s="3" t="n"/>
      <c r="G10" s="4" t="inlineStr">
        <is>
          <t>G</t>
        </is>
      </c>
      <c r="H10" t="inlineStr">
        <is>
          <t>Total rows worked in the increase section (D increase rows, C plain rows between each)</t>
        </is>
      </c>
      <c r="I10" s="5">
        <f>I7*(I6+1)</f>
        <v/>
      </c>
    </row>
    <row r="11">
      <c r="D11" t="inlineStr">
        <is>
          <t>M8 — Underbust to bust point (cm)</t>
        </is>
      </c>
      <c r="E11" s="3" t="n"/>
      <c r="G11" s="4" t="inlineStr">
        <is>
          <t>H</t>
        </is>
      </c>
      <c r="H11" t="inlineStr">
        <is>
          <t>Rib width at 40% stretch (cm)</t>
        </is>
      </c>
      <c r="I11" s="5">
        <f>B6 + 0.4*(B8 - B6)</f>
        <v/>
      </c>
    </row>
    <row r="12">
      <c r="A12" s="2" t="inlineStr">
        <is>
          <t>Field</t>
        </is>
      </c>
      <c r="B12" s="2" t="inlineStr">
        <is>
          <t>Value</t>
        </is>
      </c>
      <c r="D12" t="inlineStr">
        <is>
          <t>M9 — Front panel width at the shoulder, for the V-neck (cm)</t>
        </is>
      </c>
      <c r="E12" s="3" t="n"/>
      <c r="G12" s="4" t="inlineStr">
        <is>
          <t>I</t>
        </is>
      </c>
      <c r="H12" t="inlineStr">
        <is>
          <t>Rib stitches per cm at 40% stretch</t>
        </is>
      </c>
      <c r="I12" s="5">
        <f>B4/I11</f>
        <v/>
      </c>
    </row>
    <row r="13">
      <c r="A13" t="inlineStr">
        <is>
          <t>Stockinette swatch — stitch count</t>
        </is>
      </c>
      <c r="B13" s="3" t="n"/>
      <c r="G13" s="4" t="inlineStr">
        <is>
          <t>J</t>
        </is>
      </c>
      <c r="H13" t="inlineStr">
        <is>
          <t>Rib rows per cm (relaxed)</t>
        </is>
      </c>
      <c r="I13" s="5">
        <f>B5/B7</f>
        <v/>
      </c>
    </row>
    <row r="14">
      <c r="A14" t="inlineStr">
        <is>
          <t>Stockinette swatch — row count</t>
        </is>
      </c>
      <c r="B14" s="3" t="n"/>
      <c r="G14" s="4" t="inlineStr">
        <is>
          <t>K</t>
        </is>
      </c>
      <c r="H14" t="inlineStr">
        <is>
          <t>Stockinette stitches per cm (relaxed)</t>
        </is>
      </c>
      <c r="I14" s="5">
        <f>B13/B15</f>
        <v/>
      </c>
    </row>
    <row r="15">
      <c r="A15" t="inlineStr">
        <is>
          <t>Stockinette swatch — relaxed width (cm)</t>
        </is>
      </c>
      <c r="B15" s="3" t="n"/>
      <c r="G15" s="4" t="inlineStr">
        <is>
          <t>L</t>
        </is>
      </c>
      <c r="H15" t="inlineStr">
        <is>
          <t>Stockinette rows per cm (relaxed)</t>
        </is>
      </c>
      <c r="I15" s="5">
        <f>B14/B16</f>
        <v/>
      </c>
    </row>
    <row r="16">
      <c r="A16" t="inlineStr">
        <is>
          <t>Stockinette swatch — relaxed height (cm)</t>
        </is>
      </c>
      <c r="B16" s="3" t="n"/>
      <c r="G16" s="4" t="inlineStr">
        <is>
          <t>M</t>
        </is>
      </c>
      <c r="H16" t="inlineStr">
        <is>
          <t>A worked in stockinette (cm) — compare to bust (M3)</t>
        </is>
      </c>
      <c r="I16" s="5">
        <f>ROUND(I4/I14,1)</f>
        <v/>
      </c>
    </row>
    <row r="17">
      <c r="A17" t="inlineStr">
        <is>
          <t>Stockinette swatch — stretched width (cm)</t>
        </is>
      </c>
      <c r="B17" s="3" t="n"/>
      <c r="G17" s="4" t="inlineStr">
        <is>
          <t>N</t>
        </is>
      </c>
      <c r="H17" t="inlineStr">
        <is>
          <t>Bust stitch count, raw</t>
        </is>
      </c>
      <c r="I17" s="5">
        <f>E6*I14</f>
        <v/>
      </c>
    </row>
    <row r="18">
      <c r="A18" t="inlineStr">
        <is>
          <t>Stockinette swatch — stretched height (cm)</t>
        </is>
      </c>
      <c r="B18" s="3" t="n"/>
      <c r="G18" s="4" t="inlineStr">
        <is>
          <t>O</t>
        </is>
      </c>
      <c r="H18" t="inlineStr">
        <is>
          <t>Bust stitch count, rounded to a multiple of 4</t>
        </is>
      </c>
      <c r="I18" s="5">
        <f>MROUND(I17,4)</f>
        <v/>
      </c>
    </row>
    <row r="19">
      <c r="G19" s="4" t="inlineStr">
        <is>
          <t>P</t>
        </is>
      </c>
      <c r="H19" t="inlineStr">
        <is>
          <t>Stitch count at the bust after the upper-body increases</t>
        </is>
      </c>
      <c r="I19" s="5">
        <f>(I16&lt;E6)*I18 + (I16&gt;=E6)*I4</f>
        <v/>
      </c>
    </row>
    <row r="20">
      <c r="G20" s="4" t="inlineStr">
        <is>
          <t>Q</t>
        </is>
      </c>
      <c r="H20" t="inlineStr">
        <is>
          <t>Target row count for the increase section (from M8)</t>
        </is>
      </c>
      <c r="I20" s="5">
        <f>MROUND(E11*I15,1)</f>
        <v/>
      </c>
    </row>
    <row r="21">
      <c r="G21" s="4" t="inlineStr">
        <is>
          <t>S</t>
        </is>
      </c>
      <c r="H21" t="inlineStr">
        <is>
          <t>Length worked in the increase section (cm) — compare to M8</t>
        </is>
      </c>
      <c r="I21" s="5">
        <f>ROUND(I10/I15,1)</f>
        <v/>
      </c>
    </row>
    <row r="22">
      <c r="G22" s="4" t="inlineStr">
        <is>
          <t>T</t>
        </is>
      </c>
      <c r="H22" t="inlineStr">
        <is>
          <t>Front panel stitch count at the bust, once panels are separated</t>
        </is>
      </c>
      <c r="I22" s="5">
        <f>I19/2</f>
        <v/>
      </c>
    </row>
    <row r="23">
      <c r="G23" s="4" t="inlineStr">
        <is>
          <t>U</t>
        </is>
      </c>
      <c r="H23" t="inlineStr">
        <is>
          <t>Front panel stitches per side, after the center 2-st bind-off</t>
        </is>
      </c>
      <c r="I23" s="5">
        <f>(I22-2)/2</f>
        <v/>
      </c>
    </row>
    <row r="24">
      <c r="G24" s="4" t="inlineStr">
        <is>
          <t>V</t>
        </is>
      </c>
      <c r="H24" t="inlineStr">
        <is>
          <t>Target stitches per side at the shoulder (from M9)</t>
        </is>
      </c>
      <c r="I24" s="5">
        <f>MROUND(E12*I14,1)</f>
        <v/>
      </c>
    </row>
    <row r="25">
      <c r="G25" s="4" t="inlineStr">
        <is>
          <t>W</t>
        </is>
      </c>
      <c r="H25" t="inlineStr">
        <is>
          <t>Stitches to decrease per side</t>
        </is>
      </c>
      <c r="I25" s="5">
        <f>(I23&gt;I24)*(I23-I24)</f>
        <v/>
      </c>
    </row>
    <row r="26">
      <c r="G26" s="4" t="inlineStr">
        <is>
          <t>X</t>
        </is>
      </c>
      <c r="H26" t="inlineStr">
        <is>
          <t>Rows available for shoulder shaping (M6 minus M8)</t>
        </is>
      </c>
      <c r="I26" s="5">
        <f>MROUND((E9-E11)*I15,1)</f>
        <v/>
      </c>
    </row>
    <row r="27">
      <c r="G27" s="4" t="inlineStr">
        <is>
          <t>Y</t>
        </is>
      </c>
      <c r="H27" t="inlineStr">
        <is>
          <t>Shaping margin (X minus E) — if negative, choose a larger M9</t>
        </is>
      </c>
      <c r="I27" s="5">
        <f>I26-I8</f>
        <v/>
      </c>
    </row>
  </sheetData>
  <mergeCells count="1">
    <mergeCell ref="A1:I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2026-09-01T11:25:28Z</dcterms:created>
  <dcterms:modified xmlns:dcterms="http://purl.org/dc/terms/" xmlns:xsi="http://www.w3.org/2001/XMLSchema-instance" xsi:type="dcterms:W3CDTF">2026-09-01T11:25:28Z</dcterms:modified>
</cp:coreProperties>
</file>